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remissas" sheetId="1" state="visible" r:id="rId3"/>
    <sheet name="💰 Custo por Tenant" sheetId="2" state="visible" r:id="rId4"/>
    <sheet name="📈 Projeção 12 Meses" sheetId="3" state="visible" r:id="rId5"/>
    <sheet name="🎯 Resumo Executiv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<sst xmlns="http://schemas.openxmlformats.org/spreadsheetml/2006/main" count="187" uniqueCount="171">
  <si>
    <t xml:space="preserve">BRIF — Premissas do Modelo Financeiro</t>
  </si>
  <si>
    <t xml:space="preserve">Versão 1.0 · Abril 2025</t>
  </si>
  <si>
    <t xml:space="preserve">CUSTOS DE IA (OPENAI WHISPER + ANTHROPIC CLAUDE)</t>
  </si>
  <si>
    <t xml:space="preserve">Whisper — custo por minuto de áudio</t>
  </si>
  <si>
    <t xml:space="preserve">USD/min  ·  OpenAI Whisper API — large-v3. Fonte: openai.com/pricing</t>
  </si>
  <si>
    <t xml:space="preserve">Claude — custo por 1.000 tokens de entrada</t>
  </si>
  <si>
    <t xml:space="preserve">USD/1k tok  ·  claude-sonnet-4. Fonte: anthropic.com/pricing</t>
  </si>
  <si>
    <t xml:space="preserve">Claude — custo por 1.000 tokens de saída</t>
  </si>
  <si>
    <t xml:space="preserve">Taxa USD → BRL (câmbio referência)</t>
  </si>
  <si>
    <t xml:space="preserve">BRL/USD  ·  Atualizar conforme câmbio atual</t>
  </si>
  <si>
    <t xml:space="preserve">Tokens por reunião transcrita (entrada avg.)</t>
  </si>
  <si>
    <t xml:space="preserve">tokens  ·  ~90 min de áudio → ~4.500 tokens de transcrição para briefing</t>
  </si>
  <si>
    <t xml:space="preserve">Tokens por briefing gerado (saída avg.)</t>
  </si>
  <si>
    <t xml:space="preserve">tokens  ·  Briefing consolidado estruturado — estimativa</t>
  </si>
  <si>
    <t xml:space="preserve">Tokens por proposta HTML gerada (saída avg.)</t>
  </si>
  <si>
    <t xml:space="preserve">tokens  ·  Proposta visual completa — estimativa</t>
  </si>
  <si>
    <t xml:space="preserve">PLANOS — LIMITES E PREÇOS (INPUTS EDITÁVEIS)</t>
  </si>
  <si>
    <t xml:space="preserve">Basic</t>
  </si>
  <si>
    <t xml:space="preserve">Pro</t>
  </si>
  <si>
    <t xml:space="preserve">Observação</t>
  </si>
  <si>
    <t xml:space="preserve">Usuários internos (limite)</t>
  </si>
  <si>
    <t xml:space="preserve">Projetos ativos simultâneos (limite)</t>
  </si>
  <si>
    <t xml:space="preserve">Transcrições — minutos inclusos/mês</t>
  </si>
  <si>
    <t xml:space="preserve">Limite de Whisper por plano</t>
  </si>
  <si>
    <t xml:space="preserve">Propostas IA — quantidade incluída/mês</t>
  </si>
  <si>
    <t xml:space="preserve">Chamadas Claude para proposta</t>
  </si>
  <si>
    <t xml:space="preserve">Storage incluído — GB</t>
  </si>
  <si>
    <t xml:space="preserve">Cloudflare R2</t>
  </si>
  <si>
    <t xml:space="preserve">Preço mensal — R$</t>
  </si>
  <si>
    <t xml:space="preserve">Receita bruta por tenant/mês</t>
  </si>
  <si>
    <t xml:space="preserve">CUSTOS DE INFRAESTRUTURA FIXOS/MÊS (BRL)</t>
  </si>
  <si>
    <t xml:space="preserve">Vercel Pro (frontend)</t>
  </si>
  <si>
    <t xml:space="preserve">Vercel.com — plano Pro ~$20/mês</t>
  </si>
  <si>
    <t xml:space="preserve">Railway (backend + Redis)</t>
  </si>
  <si>
    <t xml:space="preserve">Railway.app — estimativa para MVP</t>
  </si>
  <si>
    <t xml:space="preserve">Cloudflare Workers + R2</t>
  </si>
  <si>
    <t xml:space="preserve">DNS, SSL, storage — estimativa base</t>
  </si>
  <si>
    <t xml:space="preserve">Resend (e-mail transacional)</t>
  </si>
  <si>
    <t xml:space="preserve">Resend.com — plano escalonável</t>
  </si>
  <si>
    <t xml:space="preserve">Stripe (billing) — % sobre receita</t>
  </si>
  <si>
    <t xml:space="preserve">Ver aba Projeção: cobrado como % da receita</t>
  </si>
  <si>
    <t xml:space="preserve">Domínio + certificados</t>
  </si>
  <si>
    <t xml:space="preserve">Registro.br + extras</t>
  </si>
  <si>
    <t xml:space="preserve">Monitoramento (Sentry/Datadog)</t>
  </si>
  <si>
    <t xml:space="preserve">Estimativa inicial</t>
  </si>
  <si>
    <t xml:space="preserve">ℹ  Células em AZUL são inputs editáveis. Células em PRETO são calculadas pelas fórmulas.</t>
  </si>
  <si>
    <t xml:space="preserve">Custo de IA por Tenant — Cenários de Uso</t>
  </si>
  <si>
    <t xml:space="preserve">PREMISSAS DE USO — CENÁRIOS (editável)</t>
  </si>
  <si>
    <t xml:space="preserve">Parâmetro de Uso</t>
  </si>
  <si>
    <t xml:space="preserve">Baixo
(conservador)</t>
  </si>
  <si>
    <t xml:space="preserve">Médio
(esperado)</t>
  </si>
  <si>
    <t xml:space="preserve">Alto
(intenso)</t>
  </si>
  <si>
    <t xml:space="preserve">Fonte / Nota</t>
  </si>
  <si>
    <t xml:space="preserve">Reuniões de briefing por mês (por tenant)</t>
  </si>
  <si>
    <t xml:space="preserve">Duração média de reunião (minutos)</t>
  </si>
  <si>
    <t xml:space="preserve">Propostas visuais geradas por mês</t>
  </si>
  <si>
    <t xml:space="preserve">Taxa de debriefing (% de projetos com ajuste)</t>
  </si>
  <si>
    <t xml:space="preserve">Percentual de projetos que geram debriefing</t>
  </si>
  <si>
    <t xml:space="preserve">CUSTO MENSAL DE IA POR TENANT (R$) — CALCULADO</t>
  </si>
  <si>
    <t xml:space="preserve">Item de Custo</t>
  </si>
  <si>
    <t xml:space="preserve">Cenário Baixo</t>
  </si>
  <si>
    <t xml:space="preserve">Cenário Médio</t>
  </si>
  <si>
    <t xml:space="preserve">Cenário Alto</t>
  </si>
  <si>
    <t xml:space="preserve">Fórmula / Lógica</t>
  </si>
  <si>
    <t xml:space="preserve">Minutos de áudio transcrito/mês</t>
  </si>
  <si>
    <t xml:space="preserve">reuniões × duração média</t>
  </si>
  <si>
    <t xml:space="preserve">Custo Whisper — USD</t>
  </si>
  <si>
    <t xml:space="preserve">custo/min × minutos totais</t>
  </si>
  <si>
    <t xml:space="preserve">Custo Whisper — BRL</t>
  </si>
  <si>
    <t xml:space="preserve">USD × câmbio</t>
  </si>
  <si>
    <t xml:space="preserve">Tokens Claude entrada/mês (briefings + debriefings)</t>
  </si>
  <si>
    <t xml:space="preserve">reuniões × (1+taxa_debriefing) × tokens/reunião</t>
  </si>
  <si>
    <t xml:space="preserve">Custo Claude entrada — BRL</t>
  </si>
  <si>
    <t xml:space="preserve">tokens/1000 × custo_1k × câmbio</t>
  </si>
  <si>
    <t xml:space="preserve">Tokens Claude saída/mês (briefings)</t>
  </si>
  <si>
    <t xml:space="preserve">reuniões × (1+debriefing) × tokens saída briefing</t>
  </si>
  <si>
    <t xml:space="preserve">Tokens Claude saída/mês (propostas)</t>
  </si>
  <si>
    <t xml:space="preserve">propostas × tokens por proposta</t>
  </si>
  <si>
    <t xml:space="preserve">Custo Claude saída — BRL</t>
  </si>
  <si>
    <t xml:space="preserve">(tok_briefing + tok_proposta)/1000 × custo × câmbio</t>
  </si>
  <si>
    <t xml:space="preserve">CUSTO TOTAL IA/MÊS — R$</t>
  </si>
  <si>
    <t xml:space="preserve">Whisper BRL + Claude entrada BRL + Claude saída BRL</t>
  </si>
  <si>
    <t xml:space="preserve">MARGEM BRUTA POR PLANO — APÓS CUSTO DE IA (R$/mês por tenant)</t>
  </si>
  <si>
    <t xml:space="preserve">Cenário de Uso</t>
  </si>
  <si>
    <t xml:space="preserve">Receita Basic</t>
  </si>
  <si>
    <t xml:space="preserve">Custo IA</t>
  </si>
  <si>
    <t xml:space="preserve">Margem Basic</t>
  </si>
  <si>
    <t xml:space="preserve">Receita Pro</t>
  </si>
  <si>
    <t xml:space="preserve">Margem Pro</t>
  </si>
  <si>
    <t xml:space="preserve">% CUSTO DE IA SOBRE RECEITA — META: ABAIXO DE 15%</t>
  </si>
  <si>
    <t xml:space="preserve">Cenário</t>
  </si>
  <si>
    <t xml:space="preserve">← OK se &lt; 15%</t>
  </si>
  <si>
    <t xml:space="preserve">BRIF — Projeção de Receita e Custos · 12 Meses</t>
  </si>
  <si>
    <t xml:space="preserve">CRESCIMENTO DE TENANTS POR MÊS (editável — azul)</t>
  </si>
  <si>
    <t xml:space="preserve">Métrica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</si>
  <si>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</si>
  <si>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</si>
  <si>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</si>
  <si>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</si>
  <si>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</si>
  <si>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</si>
  <si>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</si>
  <si>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</si>
  <si>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</si>
  <si>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</si>
  <si>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</si>
  <si>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</si>
  <si>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Novos tenants Basic</t>
  </si>
  <si>
    <t xml:space="preserve">Novos tenants Pro</t>
  </si>
  <si>
    <t xml:space="preserve">Churn tenants/mês</t>
  </si>
  <si>
    <t xml:space="preserve">Tenants Basic acum.</t>
  </si>
  <si>
    <t xml:space="preserve">Tenants Pro acum.</t>
  </si>
  <si>
    <t xml:space="preserve">Total tenants pagantes</t>
  </si>
  <si>
    <t xml:space="preserve">RECEITA MENSAL (R$)</t>
  </si>
  <si>
    <t xml:space="preserve">Receita Total (MRR)</t>
  </si>
  <si>
    <t xml:space="preserve">CUSTOS MENSAIS (R$)</t>
  </si>
  <si>
    <t xml:space="preserve">Custo IA — tenants Basic (cenário médio)</t>
  </si>
  <si>
    <t xml:space="preserve">Custo IA — tenants Pro (cenário médio)</t>
  </si>
  <si>
    <t xml:space="preserve">Custo Stripe (1,4% da receita)</t>
  </si>
  <si>
    <t xml:space="preserve">Infraestrutura fixa</t>
  </si>
  <si>
    <t xml:space="preserve">CUSTO TOTAL</t>
  </si>
  <si>
    <t xml:space="preserve">RESULTADO OPERACIONAL (R$)</t>
  </si>
  <si>
    <t xml:space="preserve">Receita Total</t>
  </si>
  <si>
    <t xml:space="preserve">Custo Total</t>
  </si>
  <si>
    <t xml:space="preserve">Resultado Líquido</t>
  </si>
  <si>
    <t xml:space="preserve">Margem Operacional (%)</t>
  </si>
  <si>
    <t xml:space="preserve">BRIF — Resumo Executivo de Viabilidade</t>
  </si>
  <si>
    <t xml:space="preserve">INDICADORES-CHAVE DE VIABILIDADE</t>
  </si>
  <si>
    <t xml:space="preserve">Indicador</t>
  </si>
  <si>
    <t xml:space="preserve">Valor Calculado</t>
  </si>
  <si>
    <t xml:space="preserve">Referência</t>
  </si>
  <si>
    <t xml:space="preserve">Interpretação</t>
  </si>
  <si>
    <t xml:space="preserve">🟢 Break-even de IA (Basic / Médio)</t>
  </si>
  <si>
    <t xml:space="preserve">Custo IA vs Receita Basic no cenário médio de uso</t>
  </si>
  <si>
    <t xml:space="preserve">🟡 % Custo IA sobre receita (Basic / Médio)</t>
  </si>
  <si>
    <t xml:space="preserve">Meta: &lt; 15%</t>
  </si>
  <si>
    <t xml:space="preserve">Se &gt; 15%, ajustar limites do plano ou preço</t>
  </si>
  <si>
    <t xml:space="preserve">🟡 % Custo IA sobre receita (Pro / Médio)</t>
  </si>
  <si>
    <t xml:space="preserve">Meta: &lt; 12%</t>
  </si>
  <si>
    <t xml:space="preserve">Pro tem mais uso — monitorar de perto</t>
  </si>
  <si>
    <t xml:space="preserve">📊 MRR projetado mês 6</t>
  </si>
  <si>
    <t xml:space="preserve">Meta: R$ 5.000</t>
  </si>
  <si>
    <t xml:space="preserve">Validar se mix de planos alcança a meta</t>
  </si>
  <si>
    <t xml:space="preserve">📊 MRR projetado mês 12</t>
  </si>
  <si>
    <t xml:space="preserve">Meta: R$ 30.000</t>
  </si>
  <si>
    <t xml:space="preserve">Depende da aceleração de vendas em M7+</t>
  </si>
  <si>
    <t xml:space="preserve">💡 Custo infra fixa/mês</t>
  </si>
  <si>
    <t xml:space="preserve">Fixo independente de tenants</t>
  </si>
  <si>
    <t xml:space="preserve">Revisar mensalmente conforme escala</t>
  </si>
  <si>
    <t xml:space="preserve">RECOMENDAÇÕES ANTES DO LANÇAMENTO</t>
  </si>
  <si>
    <t xml:space="preserve">#</t>
  </si>
  <si>
    <t xml:space="preserve">Ação</t>
  </si>
  <si>
    <t xml:space="preserve">Detalhe</t>
  </si>
  <si>
    <t xml:space="preserve">1</t>
  </si>
  <si>
    <t xml:space="preserve">Validar custo real de IA</t>
  </si>
  <si>
    <t xml:space="preserve">Rodar 10 briefings reais durante o dogfooding e comparar com as estimativas desta planilha. Ajustar premissas se necessário.</t>
  </si>
  <si>
    <t xml:space="preserve">2</t>
  </si>
  <si>
    <t xml:space="preserve">Calibrar limites dos planos</t>
  </si>
  <si>
    <t xml:space="preserve">Se o custo de IA &gt; 15% da receita no cenário médio, reduzir minutos inclusos no Basic ou aumentar o preço.</t>
  </si>
  <si>
    <t xml:space="preserve">3</t>
  </si>
  <si>
    <t xml:space="preserve">Definir câmbio de referência</t>
  </si>
  <si>
    <t xml:space="preserve">O custo de Whisper e Claude é em USD. Com câmbio volátil, considerar hedge ou reajuste semestral de preços.</t>
  </si>
  <si>
    <t xml:space="preserve">4</t>
  </si>
  <si>
    <t xml:space="preserve">Monitorar custo/tenant no admin</t>
  </si>
  <si>
    <t xml:space="preserve">O painel Super Admin deve exibir custo de IA acumulado por tenant em tempo real para identificar abusos.</t>
  </si>
  <si>
    <t xml:space="preserve">5</t>
  </si>
  <si>
    <t xml:space="preserve">Simular cenário de 50 tenants</t>
  </si>
  <si>
    <t xml:space="preserve">Com 50 tenants no mix 60%/40% (Basic/Pro) e uso médio, o modelo deve ser positivo. Usar a aba de Projeção.</t>
  </si>
  <si>
    <t xml:space="preserve">6</t>
  </si>
  <si>
    <t xml:space="preserve">Validar preços com mercado</t>
  </si>
  <si>
    <t xml:space="preserve">R$297 e R$697 são referências. Realizar 5 conversas de vendas antes do lançamento para testar elasticidade.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</si>
</sst>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&quot;R$ &quot;#,##0"/>
    <numFmt numFmtId="168" formatCode="&quot;R$ &quot;#,##0.00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1A2E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2E4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4A5568"/>
      <name val="Arial"/>
      <family val="0"/>
      <charset val="1"/>
    </font>
    <font>
      <b val="true"/>
      <sz val="10"/>
      <color rgb="FF1A2E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4A556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EEF3F8"/>
        <bgColor rgb="FFDCFCE7"/>
      </patternFill>
    </fill>
    <fill>
      <patternFill patternType="solid">
        <fgColor rgb="FFFFFFFF"/>
        <bgColor rgb="FFEEF3F8"/>
      </patternFill>
    </fill>
    <fill>
      <patternFill patternType="solid">
        <fgColor rgb="FF2D7DD2"/>
        <bgColor rgb="FF0066CC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CCFFCC"/>
      </patternFill>
    </fill>
    <fill>
      <patternFill patternType="solid">
        <fgColor rgb="FFFEE2E2"/>
        <bgColor rgb="FFFEF3C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medium">
        <color rgb="FF1A2E4A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CCFFCC"/>
      <rgbColor rgb="FFFFFF99"/>
      <rgbColor rgb="FF99CCFF"/>
      <rgbColor rgb="FFFF99CC"/>
      <rgbColor rgb="FFCC99FF"/>
      <rgbColor rgb="FFFEE2E2"/>
      <rgbColor rgb="FF2D7DD2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20"/>
  </cols>
  <sheetData>
    <row r="1" customFormat="false" ht="36" hidden="false" customHeight="true" outlineLevel="0" collapsed="false">
      <c r="A1" s="2" t="s">
        <v>0</v>
      </c>
      <c r="B1" s="2"/>
      <c r="C1" s="2"/>
      <c r="D1" s="3" t="s">
        <v>1</v>
      </c>
    </row>
    <row r="2" customFormat="false" ht="7.5" hidden="false" customHeight="true" outlineLevel="0" collapsed="false"/>
    <row r="3" customFormat="false" ht="21.75" hidden="false" customHeight="true" outlineLevel="0" collapsed="false">
      <c r="A3" s="4" t="s">
        <v>2</v>
      </c>
      <c r="B3" s="4"/>
      <c r="C3" s="4"/>
    </row>
    <row r="4" customFormat="false" ht="18" hidden="false" customHeight="true" outlineLevel="0" collapsed="false">
      <c r="A4" s="5" t="s">
        <v>3</v>
      </c>
      <c r="B4" s="6" t="n">
        <v>0.006</v>
      </c>
      <c r="C4" s="7" t="s">
        <v>4</v>
      </c>
    </row>
    <row r="5" customFormat="false" ht="18" hidden="false" customHeight="true" outlineLevel="0" collapsed="false">
      <c r="A5" s="5" t="s">
        <v>5</v>
      </c>
      <c r="B5" s="6" t="n">
        <v>0.003</v>
      </c>
      <c r="C5" s="7" t="s">
        <v>6</v>
      </c>
    </row>
    <row r="6" customFormat="false" ht="18" hidden="false" customHeight="true" outlineLevel="0" collapsed="false">
      <c r="A6" s="5" t="s">
        <v>7</v>
      </c>
      <c r="B6" s="6" t="n">
        <v>0.015</v>
      </c>
      <c r="C6" s="7" t="s">
        <v>6</v>
      </c>
    </row>
    <row r="7" customFormat="false" ht="18" hidden="false" customHeight="true" outlineLevel="0" collapsed="false">
      <c r="A7" s="5" t="s">
        <v>8</v>
      </c>
      <c r="B7" s="6" t="n">
        <v>5.2</v>
      </c>
      <c r="C7" s="7" t="s">
        <v>9</v>
      </c>
    </row>
    <row r="8" customFormat="false" ht="18" hidden="false" customHeight="true" outlineLevel="0" collapsed="false">
      <c r="A8" s="5" t="s">
        <v>10</v>
      </c>
      <c r="B8" s="6" t="n">
        <v>4500</v>
      </c>
      <c r="C8" s="7" t="s">
        <v>11</v>
      </c>
    </row>
    <row r="9" customFormat="false" ht="18" hidden="false" customHeight="true" outlineLevel="0" collapsed="false">
      <c r="A9" s="5" t="s">
        <v>12</v>
      </c>
      <c r="B9" s="6" t="n">
        <v>1200</v>
      </c>
      <c r="C9" s="7" t="s">
        <v>13</v>
      </c>
    </row>
    <row r="10" customFormat="false" ht="18" hidden="false" customHeight="true" outlineLevel="0" collapsed="false">
      <c r="A10" s="5" t="s">
        <v>14</v>
      </c>
      <c r="B10" s="6" t="n">
        <v>3500</v>
      </c>
      <c r="C10" s="7" t="s">
        <v>15</v>
      </c>
    </row>
    <row r="12" customFormat="false" ht="7.5" hidden="false" customHeight="true" outlineLevel="0" collapsed="false"/>
    <row r="13" customFormat="false" ht="21.75" hidden="false" customHeight="true" outlineLevel="0" collapsed="false">
      <c r="A13" s="4" t="s">
        <v>16</v>
      </c>
      <c r="B13" s="4"/>
      <c r="C13" s="4"/>
    </row>
    <row r="14" customFormat="false" ht="15" hidden="false" customHeight="true" outlineLevel="0" collapsed="false">
      <c r="A14" s="8"/>
      <c r="B14" s="9" t="s">
        <v>17</v>
      </c>
      <c r="C14" s="9" t="s">
        <v>18</v>
      </c>
      <c r="D14" s="10" t="s">
        <v>19</v>
      </c>
    </row>
    <row r="15" customFormat="false" ht="18" hidden="false" customHeight="true" outlineLevel="0" collapsed="false">
      <c r="A15" s="5" t="s">
        <v>20</v>
      </c>
      <c r="B15" s="11" t="n">
        <v>5</v>
      </c>
      <c r="C15" s="11" t="n">
        <v>20</v>
      </c>
      <c r="D15" s="7"/>
    </row>
    <row r="16" customFormat="false" ht="18" hidden="false" customHeight="true" outlineLevel="0" collapsed="false">
      <c r="A16" s="5" t="s">
        <v>21</v>
      </c>
      <c r="B16" s="11" t="n">
        <v>5</v>
      </c>
      <c r="C16" s="11" t="n">
        <v>30</v>
      </c>
      <c r="D16" s="7"/>
    </row>
    <row r="17" customFormat="false" ht="18" hidden="false" customHeight="true" outlineLevel="0" collapsed="false">
      <c r="A17" s="5" t="s">
        <v>22</v>
      </c>
      <c r="B17" s="11" t="n">
        <v>120</v>
      </c>
      <c r="C17" s="11" t="n">
        <v>600</v>
      </c>
      <c r="D17" s="7" t="s">
        <v>23</v>
      </c>
    </row>
    <row r="18" customFormat="false" ht="18" hidden="false" customHeight="true" outlineLevel="0" collapsed="false">
      <c r="A18" s="5" t="s">
        <v>24</v>
      </c>
      <c r="B18" s="11" t="n">
        <v>10</v>
      </c>
      <c r="C18" s="11" t="n">
        <v>50</v>
      </c>
      <c r="D18" s="7" t="s">
        <v>25</v>
      </c>
    </row>
    <row r="19" customFormat="false" ht="18" hidden="false" customHeight="true" outlineLevel="0" collapsed="false">
      <c r="A19" s="5" t="s">
        <v>26</v>
      </c>
      <c r="B19" s="11" t="n">
        <v>5</v>
      </c>
      <c r="C19" s="11" t="n">
        <v>50</v>
      </c>
      <c r="D19" s="7" t="s">
        <v>27</v>
      </c>
    </row>
    <row r="20" customFormat="false" ht="18" hidden="false" customHeight="true" outlineLevel="0" collapsed="false">
      <c r="A20" s="5" t="s">
        <v>28</v>
      </c>
      <c r="B20" s="11" t="n">
        <v>297</v>
      </c>
      <c r="C20" s="11" t="n">
        <v>697</v>
      </c>
      <c r="D20" s="7" t="s">
        <v>29</v>
      </c>
    </row>
    <row r="22" customFormat="false" ht="7.5" hidden="false" customHeight="true" outlineLevel="0" collapsed="false"/>
    <row r="23" customFormat="false" ht="21.75" hidden="false" customHeight="true" outlineLevel="0" collapsed="false">
      <c r="A23" s="4" t="s">
        <v>30</v>
      </c>
      <c r="B23" s="4"/>
      <c r="C23" s="4"/>
    </row>
    <row r="24" customFormat="false" ht="18" hidden="false" customHeight="true" outlineLevel="0" collapsed="false">
      <c r="A24" s="5" t="s">
        <v>31</v>
      </c>
      <c r="B24" s="12" t="n">
        <v>300</v>
      </c>
      <c r="C24" s="13" t="s">
        <v>32</v>
      </c>
      <c r="D24" s="13"/>
    </row>
    <row r="25" customFormat="false" ht="18" hidden="false" customHeight="true" outlineLevel="0" collapsed="false">
      <c r="A25" s="5" t="s">
        <v>33</v>
      </c>
      <c r="B25" s="12" t="n">
        <v>500</v>
      </c>
      <c r="C25" s="13" t="s">
        <v>34</v>
      </c>
      <c r="D25" s="13"/>
    </row>
    <row r="26" customFormat="false" ht="18" hidden="false" customHeight="true" outlineLevel="0" collapsed="false">
      <c r="A26" s="5" t="s">
        <v>35</v>
      </c>
      <c r="B26" s="12" t="n">
        <v>150</v>
      </c>
      <c r="C26" s="13" t="s">
        <v>36</v>
      </c>
      <c r="D26" s="13"/>
    </row>
    <row r="27" customFormat="false" ht="18" hidden="false" customHeight="true" outlineLevel="0" collapsed="false">
      <c r="A27" s="5" t="s">
        <v>37</v>
      </c>
      <c r="B27" s="12" t="n">
        <v>100</v>
      </c>
      <c r="C27" s="13" t="s">
        <v>38</v>
      </c>
      <c r="D27" s="13"/>
    </row>
    <row r="28" customFormat="false" ht="18" hidden="false" customHeight="true" outlineLevel="0" collapsed="false">
      <c r="A28" s="5" t="s">
        <v>39</v>
      </c>
      <c r="B28" s="12" t="n">
        <v>0</v>
      </c>
      <c r="C28" s="13" t="s">
        <v>40</v>
      </c>
      <c r="D28" s="13"/>
    </row>
    <row r="29" customFormat="false" ht="18" hidden="false" customHeight="true" outlineLevel="0" collapsed="false">
      <c r="A29" s="5" t="s">
        <v>41</v>
      </c>
      <c r="B29" s="12" t="n">
        <v>80</v>
      </c>
      <c r="C29" s="13" t="s">
        <v>42</v>
      </c>
      <c r="D29" s="13"/>
    </row>
    <row r="30" customFormat="false" ht="18" hidden="false" customHeight="true" outlineLevel="0" collapsed="false">
      <c r="A30" s="5" t="s">
        <v>43</v>
      </c>
      <c r="B30" s="12" t="n">
        <v>200</v>
      </c>
      <c r="C30" s="13" t="s">
        <v>44</v>
      </c>
      <c r="D30" s="13"/>
    </row>
    <row r="32" customFormat="false" ht="13.5" hidden="false" customHeight="true" outlineLevel="0" collapsed="false">
      <c r="A32" s="14" t="s">
        <v>45</v>
      </c>
      <c r="B32" s="14"/>
      <c r="C32" s="14"/>
      <c r="D32" s="14"/>
    </row>
  </sheetData>
  <mergeCells count="12">
    <mergeCell ref="A1:C1"/>
    <mergeCell ref="A3:C3"/>
    <mergeCell ref="A13:C13"/>
    <mergeCell ref="A23:C23"/>
    <mergeCell ref="C24:D24"/>
    <mergeCell ref="C25:D25"/>
    <mergeCell ref="C26:D26"/>
    <mergeCell ref="C27:D27"/>
    <mergeCell ref="C28:D28"/>
    <mergeCell ref="C29:D29"/>
    <mergeCell ref="C30:D30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16"/>
    <col collapsed="false" customWidth="true" hidden="false" outlineLevel="0" max="6" min="6" style="1" width="34"/>
  </cols>
  <sheetData>
    <row r="1" customFormat="false" ht="36" hidden="false" customHeight="true" outlineLevel="0" collapsed="false">
      <c r="A1" s="2" t="s">
        <v>46</v>
      </c>
      <c r="B1" s="2"/>
      <c r="C1" s="2"/>
      <c r="D1" s="2"/>
      <c r="E1" s="2"/>
      <c r="F1" s="2"/>
    </row>
    <row r="2" customFormat="false" ht="7.5" hidden="false" customHeight="true" outlineLevel="0" collapsed="false"/>
    <row r="3" customFormat="false" ht="21.75" hidden="false" customHeight="true" outlineLevel="0" collapsed="false">
      <c r="A3" s="4" t="s">
        <v>47</v>
      </c>
      <c r="B3" s="4"/>
      <c r="C3" s="4"/>
      <c r="D3" s="4"/>
      <c r="E3" s="4"/>
      <c r="F3" s="4"/>
    </row>
    <row r="4" customFormat="false" ht="23.25" hidden="false" customHeight="true" outlineLevel="0" collapsed="false">
      <c r="A4" s="15" t="s">
        <v>48</v>
      </c>
      <c r="B4" s="15" t="s">
        <v>49</v>
      </c>
      <c r="C4" s="15" t="s">
        <v>50</v>
      </c>
      <c r="D4" s="15" t="s">
        <v>51</v>
      </c>
      <c r="E4" s="15"/>
      <c r="F4" s="15" t="s">
        <v>52</v>
      </c>
    </row>
    <row r="5" customFormat="false" ht="18" hidden="false" customHeight="true" outlineLevel="0" collapsed="false">
      <c r="A5" s="5" t="s">
        <v>53</v>
      </c>
      <c r="B5" s="11" t="n">
        <v>3</v>
      </c>
      <c r="C5" s="11" t="n">
        <v>6</v>
      </c>
      <c r="D5" s="11" t="n">
        <v>12</v>
      </c>
      <c r="E5" s="16"/>
      <c r="F5" s="7"/>
    </row>
    <row r="6" customFormat="false" ht="18" hidden="false" customHeight="true" outlineLevel="0" collapsed="false">
      <c r="A6" s="5" t="s">
        <v>54</v>
      </c>
      <c r="B6" s="11" t="n">
        <v>45</v>
      </c>
      <c r="C6" s="11" t="n">
        <v>60</v>
      </c>
      <c r="D6" s="11" t="n">
        <v>90</v>
      </c>
      <c r="E6" s="16"/>
      <c r="F6" s="7"/>
    </row>
    <row r="7" customFormat="false" ht="18" hidden="false" customHeight="true" outlineLevel="0" collapsed="false">
      <c r="A7" s="5" t="s">
        <v>55</v>
      </c>
      <c r="B7" s="11" t="n">
        <v>3</v>
      </c>
      <c r="C7" s="11" t="n">
        <v>6</v>
      </c>
      <c r="D7" s="11" t="n">
        <v>12</v>
      </c>
      <c r="E7" s="16"/>
      <c r="F7" s="7"/>
    </row>
    <row r="8" customFormat="false" ht="18" hidden="false" customHeight="true" outlineLevel="0" collapsed="false">
      <c r="A8" s="5" t="s">
        <v>56</v>
      </c>
      <c r="B8" s="6" t="n">
        <v>0.3</v>
      </c>
      <c r="C8" s="6" t="n">
        <v>0.5</v>
      </c>
      <c r="D8" s="6" t="n">
        <v>0.7</v>
      </c>
      <c r="E8" s="16"/>
      <c r="F8" s="7" t="s">
        <v>57</v>
      </c>
    </row>
    <row r="9" customFormat="false" ht="7.5" hidden="false" customHeight="true" outlineLevel="0" collapsed="false"/>
    <row r="10" customFormat="false" ht="21.75" hidden="false" customHeight="true" outlineLevel="0" collapsed="false">
      <c r="A10" s="4" t="s">
        <v>58</v>
      </c>
      <c r="B10" s="4"/>
      <c r="C10" s="4"/>
      <c r="D10" s="4"/>
      <c r="E10" s="4"/>
      <c r="F10" s="4"/>
    </row>
    <row r="11" customFormat="false" ht="15" hidden="false" customHeight="true" outlineLevel="0" collapsed="false">
      <c r="A11" s="15" t="s">
        <v>59</v>
      </c>
      <c r="B11" s="15" t="s">
        <v>60</v>
      </c>
      <c r="C11" s="15" t="s">
        <v>61</v>
      </c>
      <c r="D11" s="15" t="s">
        <v>62</v>
      </c>
      <c r="E11" s="15"/>
      <c r="F11" s="15" t="s">
        <v>63</v>
      </c>
    </row>
    <row r="12" customFormat="false" ht="18" hidden="false" customHeight="true" outlineLevel="0" collapsed="false">
      <c r="A12" s="5" t="s">
        <v>64</v>
      </c>
      <c r="B12" s="17" t="n">
        <f aca="false">B5*B6</f>
        <v>135</v>
      </c>
      <c r="C12" s="17" t="n">
        <f aca="false">C5*C6</f>
        <v>360</v>
      </c>
      <c r="D12" s="17" t="n">
        <f aca="false">D5*D6</f>
        <v>1080</v>
      </c>
      <c r="E12" s="16"/>
      <c r="F12" s="18" t="s">
        <v>65</v>
      </c>
    </row>
    <row r="13" customFormat="false" ht="18" hidden="false" customHeight="true" outlineLevel="0" collapsed="false">
      <c r="A13" s="5" t="s">
        <v>66</v>
      </c>
      <c r="B13" s="17" t="n">
        <f aca="false">'📋 Premissas'!B4*B12</f>
        <v>0.81</v>
      </c>
      <c r="C13" s="17" t="n">
        <f aca="false">'📋 Premissas'!B4*C12</f>
        <v>2.16</v>
      </c>
      <c r="D13" s="17" t="n">
        <f aca="false">'📋 Premissas'!B4*D12</f>
        <v>6.48</v>
      </c>
      <c r="E13" s="16"/>
      <c r="F13" s="18" t="s">
        <v>67</v>
      </c>
    </row>
    <row r="14" customFormat="false" ht="18" hidden="false" customHeight="true" outlineLevel="0" collapsed="false">
      <c r="A14" s="5" t="s">
        <v>68</v>
      </c>
      <c r="B14" s="19" t="n">
        <f aca="false">B13*'📋 Premissas'!B7</f>
        <v>4.212</v>
      </c>
      <c r="C14" s="19" t="n">
        <f aca="false">C13*'📋 Premissas'!B7</f>
        <v>11.232</v>
      </c>
      <c r="D14" s="19" t="n">
        <f aca="false">D13*'📋 Premissas'!B7</f>
        <v>33.696</v>
      </c>
      <c r="E14" s="16"/>
      <c r="F14" s="18" t="s">
        <v>69</v>
      </c>
    </row>
    <row r="15" customFormat="false" ht="18" hidden="false" customHeight="true" outlineLevel="0" collapsed="false">
      <c r="A15" s="5" t="s">
        <v>70</v>
      </c>
      <c r="B15" s="17" t="n">
        <f aca="false">B5*(1+B8)*'📋 Premissas'!B8</f>
        <v>17550</v>
      </c>
      <c r="C15" s="17" t="n">
        <f aca="false">C5*(1+C8)*'📋 Premissas'!B8</f>
        <v>40500</v>
      </c>
      <c r="D15" s="17" t="n">
        <f aca="false">D5*(1+D8)*'📋 Premissas'!B8</f>
        <v>91800</v>
      </c>
      <c r="E15" s="16"/>
      <c r="F15" s="18" t="s">
        <v>71</v>
      </c>
    </row>
    <row r="16" customFormat="false" ht="18" hidden="false" customHeight="true" outlineLevel="0" collapsed="false">
      <c r="A16" s="5" t="s">
        <v>72</v>
      </c>
      <c r="B16" s="19" t="n">
        <f aca="false">B15/1000*'📋 Premissas'!B5*'📋 Premissas'!B7</f>
        <v>0.27378</v>
      </c>
      <c r="C16" s="19" t="n">
        <f aca="false">C15/1000*'📋 Premissas'!B5*'📋 Premissas'!B7</f>
        <v>0.6318</v>
      </c>
      <c r="D16" s="19" t="n">
        <f aca="false">D15/1000*'📋 Premissas'!B5*'📋 Premissas'!B7</f>
        <v>1.43208</v>
      </c>
      <c r="E16" s="16"/>
      <c r="F16" s="18" t="s">
        <v>73</v>
      </c>
    </row>
    <row r="17" customFormat="false" ht="18" hidden="false" customHeight="true" outlineLevel="0" collapsed="false">
      <c r="A17" s="5" t="s">
        <v>74</v>
      </c>
      <c r="B17" s="17" t="n">
        <f aca="false">B5*(1+B8)*'📋 Premissas'!B9</f>
        <v>4680</v>
      </c>
      <c r="C17" s="17" t="n">
        <f aca="false">C5*(1+C8)*'📋 Premissas'!B9</f>
        <v>10800</v>
      </c>
      <c r="D17" s="17" t="n">
        <f aca="false">D5*(1+D8)*'📋 Premissas'!B9</f>
        <v>24480</v>
      </c>
      <c r="E17" s="16"/>
      <c r="F17" s="18" t="s">
        <v>75</v>
      </c>
    </row>
    <row r="18" customFormat="false" ht="18" hidden="false" customHeight="true" outlineLevel="0" collapsed="false">
      <c r="A18" s="5" t="s">
        <v>76</v>
      </c>
      <c r="B18" s="17" t="n">
        <f aca="false">B7*'📋 Premissas'!B10</f>
        <v>10500</v>
      </c>
      <c r="C18" s="17" t="n">
        <f aca="false">C7*'📋 Premissas'!B10</f>
        <v>21000</v>
      </c>
      <c r="D18" s="17" t="n">
        <f aca="false">D7*'📋 Premissas'!B10</f>
        <v>42000</v>
      </c>
      <c r="E18" s="16"/>
      <c r="F18" s="18" t="s">
        <v>77</v>
      </c>
    </row>
    <row r="19" customFormat="false" ht="18" hidden="false" customHeight="true" outlineLevel="0" collapsed="false">
      <c r="A19" s="5" t="s">
        <v>78</v>
      </c>
      <c r="B19" s="19" t="n">
        <f aca="false">(B17+B18)/1000*'📋 Premissas'!B6*'📋 Premissas'!B7</f>
        <v>1.18404</v>
      </c>
      <c r="C19" s="19" t="n">
        <f aca="false">(C17+C18)/1000*'📋 Premissas'!B6*'📋 Premissas'!B7</f>
        <v>2.4804</v>
      </c>
      <c r="D19" s="19" t="n">
        <f aca="false">(D17+D18)/1000*'📋 Premissas'!B6*'📋 Premissas'!B7</f>
        <v>5.18544</v>
      </c>
      <c r="E19" s="16"/>
      <c r="F19" s="18" t="s">
        <v>79</v>
      </c>
    </row>
    <row r="20" customFormat="false" ht="18" hidden="false" customHeight="true" outlineLevel="0" collapsed="false">
      <c r="A20" s="20" t="s">
        <v>80</v>
      </c>
      <c r="B20" s="21" t="n">
        <f aca="false">B14+B16+B19</f>
        <v>5.66982</v>
      </c>
      <c r="C20" s="21" t="n">
        <f aca="false">C14+C16+C19</f>
        <v>14.3442</v>
      </c>
      <c r="D20" s="21" t="n">
        <f aca="false">D14+D16+D19</f>
        <v>40.31352</v>
      </c>
      <c r="E20" s="22"/>
      <c r="F20" s="23" t="s">
        <v>81</v>
      </c>
    </row>
    <row r="22" customFormat="false" ht="7.5" hidden="false" customHeight="true" outlineLevel="0" collapsed="false"/>
    <row r="23" customFormat="false" ht="21.75" hidden="false" customHeight="true" outlineLevel="0" collapsed="false">
      <c r="A23" s="4" t="s">
        <v>82</v>
      </c>
      <c r="B23" s="4"/>
      <c r="C23" s="4"/>
      <c r="D23" s="4"/>
      <c r="E23" s="4"/>
      <c r="F23" s="4"/>
    </row>
    <row r="24" customFormat="false" ht="15" hidden="false" customHeight="true" outlineLevel="0" collapsed="false">
      <c r="A24" s="15" t="s">
        <v>83</v>
      </c>
      <c r="B24" s="15" t="s">
        <v>84</v>
      </c>
      <c r="C24" s="15" t="s">
        <v>85</v>
      </c>
      <c r="D24" s="15" t="s">
        <v>86</v>
      </c>
      <c r="E24" s="15" t="s">
        <v>87</v>
      </c>
      <c r="F24" s="15" t="s">
        <v>88</v>
      </c>
    </row>
    <row r="25" customFormat="false" ht="18" hidden="false" customHeight="true" outlineLevel="0" collapsed="false">
      <c r="A25" s="24" t="s">
        <v>60</v>
      </c>
      <c r="B25" s="25" t="n">
        <f aca="false">'📋 Premissas'!B20</f>
        <v>297</v>
      </c>
      <c r="C25" s="26" t="n">
        <f aca="false">B22</f>
        <v>0</v>
      </c>
      <c r="D25" s="27" t="n">
        <f aca="false">B25-C25</f>
        <v>297</v>
      </c>
      <c r="E25" s="25" t="n">
        <f aca="false">'📋 Premissas'!C20</f>
        <v>697</v>
      </c>
      <c r="F25" s="27" t="n">
        <f aca="false">E25-C25</f>
        <v>697</v>
      </c>
    </row>
    <row r="26" customFormat="false" ht="18" hidden="false" customHeight="true" outlineLevel="0" collapsed="false">
      <c r="A26" s="24" t="s">
        <v>61</v>
      </c>
      <c r="B26" s="25" t="n">
        <f aca="false">'📋 Premissas'!B20</f>
        <v>297</v>
      </c>
      <c r="C26" s="26" t="n">
        <f aca="false">C22</f>
        <v>0</v>
      </c>
      <c r="D26" s="27" t="n">
        <f aca="false">B26-C26</f>
        <v>297</v>
      </c>
      <c r="E26" s="25" t="n">
        <f aca="false">'📋 Premissas'!C20</f>
        <v>697</v>
      </c>
      <c r="F26" s="27" t="n">
        <f aca="false">E26-C26</f>
        <v>697</v>
      </c>
    </row>
    <row r="27" customFormat="false" ht="18" hidden="false" customHeight="true" outlineLevel="0" collapsed="false">
      <c r="A27" s="24" t="s">
        <v>62</v>
      </c>
      <c r="B27" s="25" t="n">
        <f aca="false">'📋 Premissas'!B20</f>
        <v>297</v>
      </c>
      <c r="C27" s="26" t="n">
        <f aca="false">D22</f>
        <v>0</v>
      </c>
      <c r="D27" s="28" t="n">
        <f aca="false">B27-C27</f>
        <v>297</v>
      </c>
      <c r="E27" s="25" t="n">
        <f aca="false">'📋 Premissas'!C20</f>
        <v>697</v>
      </c>
      <c r="F27" s="27" t="n">
        <f aca="false">E27-C27</f>
        <v>697</v>
      </c>
    </row>
    <row r="28" customFormat="false" ht="21.75" hidden="false" customHeight="true" outlineLevel="0" collapsed="false">
      <c r="A28" s="4" t="s">
        <v>89</v>
      </c>
      <c r="B28" s="4"/>
      <c r="C28" s="4"/>
      <c r="D28" s="4"/>
      <c r="E28" s="4"/>
      <c r="F28" s="4"/>
    </row>
    <row r="29" customFormat="false" ht="15" hidden="false" customHeight="true" outlineLevel="0" collapsed="false">
      <c r="A29" s="15" t="s">
        <v>90</v>
      </c>
      <c r="B29" s="15" t="s">
        <v>17</v>
      </c>
      <c r="C29" s="15"/>
      <c r="D29" s="15"/>
      <c r="E29" s="15" t="s">
        <v>18</v>
      </c>
      <c r="F29" s="15"/>
    </row>
    <row r="30" customFormat="false" ht="18" hidden="false" customHeight="true" outlineLevel="0" collapsed="false">
      <c r="A30" s="24" t="s">
        <v>60</v>
      </c>
      <c r="B30" s="29" t="n">
        <f aca="false">C25/B25</f>
        <v>0</v>
      </c>
      <c r="C30" s="7" t="s">
        <v>91</v>
      </c>
      <c r="D30" s="7"/>
      <c r="E30" s="29" t="n">
        <f aca="false">C25/E25</f>
        <v>0</v>
      </c>
      <c r="F30" s="7" t="s">
        <v>91</v>
      </c>
    </row>
    <row r="31" customFormat="false" ht="18" hidden="false" customHeight="true" outlineLevel="0" collapsed="false">
      <c r="A31" s="24" t="s">
        <v>61</v>
      </c>
      <c r="B31" s="29" t="n">
        <f aca="false">C26/B26</f>
        <v>0</v>
      </c>
      <c r="C31" s="7" t="s">
        <v>91</v>
      </c>
      <c r="D31" s="7"/>
      <c r="E31" s="29" t="n">
        <f aca="false">C26/E26</f>
        <v>0</v>
      </c>
      <c r="F31" s="7" t="s">
        <v>91</v>
      </c>
    </row>
    <row r="32" customFormat="false" ht="18" hidden="false" customHeight="true" outlineLevel="0" collapsed="false">
      <c r="A32" s="24" t="s">
        <v>62</v>
      </c>
      <c r="B32" s="29" t="n">
        <f aca="false">C27/B27</f>
        <v>0</v>
      </c>
      <c r="C32" s="7" t="s">
        <v>91</v>
      </c>
      <c r="D32" s="7"/>
      <c r="E32" s="29" t="n">
        <f aca="false">C27/E27</f>
        <v>0</v>
      </c>
      <c r="F32" s="7" t="s">
        <v>91</v>
      </c>
    </row>
  </sheetData>
  <mergeCells count="8">
    <mergeCell ref="A1:F1"/>
    <mergeCell ref="A3:F3"/>
    <mergeCell ref="A10:F10"/>
    <mergeCell ref="A23:F23"/>
    <mergeCell ref="A28:F28"/>
    <mergeCell ref="C30:D30"/>
    <mergeCell ref="C31:D31"/>
    <mergeCell ref="C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4" min="2" style="1" width="11"/>
  </cols>
  <sheetData>
    <row r="1" customFormat="false" ht="36" hidden="false" customHeight="true" outlineLevel="0" collapsed="false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7.5" hidden="false" customHeight="true" outlineLevel="0" collapsed="false"/>
    <row r="3" customFormat="false" ht="21.75" hidden="false" customHeight="true" outlineLevel="0" collapsed="false">
      <c r="A3" s="4" t="s">
        <v>93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true" outlineLevel="0" collapsed="false">
      <c r="A4" s="15" t="s">
        <v>94</v>
      </c>
      <c r="B4" s="15" t="s">
        <v>95</v>
      </c>
      <c r="C4" s="15" t="s">
        <v>96</v>
      </c>
      <c r="D4" s="15" t="s">
        <v>97</v>
      </c>
      <c r="E4" s="15" t="s">
        <v>98</v>
      </c>
      <c r="F4" s="15" t="s">
        <v>99</v>
      </c>
      <c r="G4" s="15" t="s">
        <v>100</v>
      </c>
      <c r="H4" s="15" t="s">
        <v>101</v>
      </c>
      <c r="I4" s="15" t="s">
        <v>102</v>
      </c>
      <c r="J4" s="15" t="s">
        <v>103</v>
      </c>
      <c r="K4" s="15" t="s">
        <v>104</v>
      </c>
      <c r="L4" s="15" t="s">
        <v>105</v>
      </c>
      <c r="M4" s="15" t="s">
        <v>106</v>
      </c>
    </row>
    <row r="5" customFormat="false" ht="18" hidden="false" customHeight="true" outlineLevel="0" collapsed="false">
      <c r="A5" s="5" t="s">
        <v>107</v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1</v>
      </c>
      <c r="G5" s="11" t="n">
        <v>1</v>
      </c>
      <c r="H5" s="11" t="n">
        <v>1</v>
      </c>
      <c r="I5" s="11" t="n">
        <v>2</v>
      </c>
      <c r="J5" s="11" t="n">
        <v>2</v>
      </c>
      <c r="K5" s="11" t="n">
        <v>2</v>
      </c>
      <c r="L5" s="11" t="n">
        <v>3</v>
      </c>
      <c r="M5" s="11" t="n">
        <v>3</v>
      </c>
    </row>
    <row r="6" customFormat="false" ht="18" hidden="false" customHeight="true" outlineLevel="0" collapsed="false">
      <c r="A6" s="5" t="s">
        <v>108</v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1</v>
      </c>
      <c r="H6" s="11" t="n">
        <v>1</v>
      </c>
      <c r="I6" s="11" t="n">
        <v>1</v>
      </c>
      <c r="J6" s="11" t="n">
        <v>1</v>
      </c>
      <c r="K6" s="11" t="n">
        <v>2</v>
      </c>
      <c r="L6" s="11" t="n">
        <v>2</v>
      </c>
      <c r="M6" s="11" t="n">
        <v>2</v>
      </c>
    </row>
    <row r="7" customFormat="false" ht="18" hidden="false" customHeight="true" outlineLevel="0" collapsed="false">
      <c r="A7" s="5" t="s">
        <v>109</v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</v>
      </c>
      <c r="K7" s="11" t="n">
        <v>1</v>
      </c>
      <c r="L7" s="11" t="n">
        <v>1</v>
      </c>
      <c r="M7" s="11" t="n">
        <v>1</v>
      </c>
    </row>
    <row r="8" customFormat="false" ht="18" hidden="false" customHeight="true" outlineLevel="0" collapsed="false">
      <c r="A8" s="10" t="s">
        <v>110</v>
      </c>
      <c r="B8" s="30" t="n">
        <f aca="false">B5+B6-B7</f>
        <v>0</v>
      </c>
      <c r="C8" s="30" t="n">
        <f aca="false">B8+C5-C7</f>
        <v>0</v>
      </c>
      <c r="D8" s="30" t="n">
        <f aca="false">C8+D5-D7</f>
        <v>0</v>
      </c>
      <c r="E8" s="30" t="n">
        <f aca="false">D8+E5-E7</f>
        <v>0</v>
      </c>
      <c r="F8" s="30" t="n">
        <f aca="false">E8+F5-F7</f>
        <v>1</v>
      </c>
      <c r="G8" s="30" t="n">
        <f aca="false">F8+G5-G7</f>
        <v>2</v>
      </c>
      <c r="H8" s="30" t="n">
        <f aca="false">G8+H5-H7</f>
        <v>3</v>
      </c>
      <c r="I8" s="30" t="n">
        <f aca="false">H8+I5-I7</f>
        <v>5</v>
      </c>
      <c r="J8" s="30" t="n">
        <f aca="false">I8+J5-J7</f>
        <v>6</v>
      </c>
      <c r="K8" s="30" t="n">
        <f aca="false">J8+K5-K7</f>
        <v>7</v>
      </c>
      <c r="L8" s="30" t="n">
        <f aca="false">K8+L5-L7</f>
        <v>9</v>
      </c>
      <c r="M8" s="30" t="n">
        <f aca="false">L8+M5-M7</f>
        <v>11</v>
      </c>
    </row>
    <row r="9" customFormat="false" ht="18" hidden="false" customHeight="true" outlineLevel="0" collapsed="false">
      <c r="A9" s="10" t="s">
        <v>111</v>
      </c>
      <c r="B9" s="30" t="n">
        <f aca="false">B6</f>
        <v>0</v>
      </c>
      <c r="C9" s="30" t="n">
        <f aca="false">B9+C6</f>
        <v>0</v>
      </c>
      <c r="D9" s="30" t="n">
        <f aca="false">C9+D6</f>
        <v>0</v>
      </c>
      <c r="E9" s="30" t="n">
        <f aca="false">D9+E6</f>
        <v>0</v>
      </c>
      <c r="F9" s="30" t="n">
        <f aca="false">E9+F6</f>
        <v>0</v>
      </c>
      <c r="G9" s="30" t="n">
        <f aca="false">F9+G6</f>
        <v>1</v>
      </c>
      <c r="H9" s="30" t="n">
        <f aca="false">G9+H6</f>
        <v>2</v>
      </c>
      <c r="I9" s="30" t="n">
        <f aca="false">H9+I6</f>
        <v>3</v>
      </c>
      <c r="J9" s="30" t="n">
        <f aca="false">I9+J6</f>
        <v>4</v>
      </c>
      <c r="K9" s="30" t="n">
        <f aca="false">J9+K6</f>
        <v>6</v>
      </c>
      <c r="L9" s="30" t="n">
        <f aca="false">K9+L6</f>
        <v>8</v>
      </c>
      <c r="M9" s="30" t="n">
        <f aca="false">L9+M6</f>
        <v>10</v>
      </c>
    </row>
    <row r="10" customFormat="false" ht="18" hidden="false" customHeight="true" outlineLevel="0" collapsed="false">
      <c r="A10" s="10" t="s">
        <v>112</v>
      </c>
      <c r="B10" s="31" t="n">
        <f aca="false">B8+B9</f>
        <v>0</v>
      </c>
      <c r="C10" s="31" t="n">
        <f aca="false">C8+C9</f>
        <v>0</v>
      </c>
      <c r="D10" s="31" t="n">
        <f aca="false">D8+D9</f>
        <v>0</v>
      </c>
      <c r="E10" s="31" t="n">
        <f aca="false">E8+E9</f>
        <v>0</v>
      </c>
      <c r="F10" s="31" t="n">
        <f aca="false">F8+F9</f>
        <v>1</v>
      </c>
      <c r="G10" s="31" t="n">
        <f aca="false">G8+G9</f>
        <v>3</v>
      </c>
      <c r="H10" s="31" t="n">
        <f aca="false">H8+H9</f>
        <v>5</v>
      </c>
      <c r="I10" s="31" t="n">
        <f aca="false">I8+I9</f>
        <v>8</v>
      </c>
      <c r="J10" s="31" t="n">
        <f aca="false">J8+J9</f>
        <v>10</v>
      </c>
      <c r="K10" s="31" t="n">
        <f aca="false">K8+K9</f>
        <v>13</v>
      </c>
      <c r="L10" s="31" t="n">
        <f aca="false">L8+L9</f>
        <v>17</v>
      </c>
      <c r="M10" s="31" t="n">
        <f aca="false">M8+M9</f>
        <v>21</v>
      </c>
    </row>
    <row r="11" customFormat="false" ht="7.5" hidden="false" customHeight="true" outlineLevel="0" collapsed="false"/>
    <row r="12" customFormat="false" ht="21.75" hidden="false" customHeight="true" outlineLevel="0" collapsed="false">
      <c r="A12" s="4" t="s">
        <v>113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" hidden="false" customHeight="true" outlineLevel="0" collapsed="false">
      <c r="A13" s="5" t="s">
        <v>84</v>
      </c>
      <c r="B13" s="32" t="n">
        <f aca="false">B8*'📋 Premissas'!B20</f>
        <v>0</v>
      </c>
      <c r="C13" s="32" t="n">
        <f aca="false">C8*'📋 Premissas'!B20</f>
        <v>0</v>
      </c>
      <c r="D13" s="32" t="n">
        <f aca="false">D8*'📋 Premissas'!B20</f>
        <v>0</v>
      </c>
      <c r="E13" s="32" t="n">
        <f aca="false">E8*'📋 Premissas'!B20</f>
        <v>0</v>
      </c>
      <c r="F13" s="32" t="n">
        <f aca="false">F8*'📋 Premissas'!B20</f>
        <v>297</v>
      </c>
      <c r="G13" s="32" t="n">
        <f aca="false">G8*'📋 Premissas'!B20</f>
        <v>594</v>
      </c>
      <c r="H13" s="32" t="n">
        <f aca="false">H8*'📋 Premissas'!B20</f>
        <v>891</v>
      </c>
      <c r="I13" s="32" t="n">
        <f aca="false">I8*'📋 Premissas'!B20</f>
        <v>1485</v>
      </c>
      <c r="J13" s="32" t="n">
        <f aca="false">J8*'📋 Premissas'!B20</f>
        <v>1782</v>
      </c>
      <c r="K13" s="32" t="n">
        <f aca="false">K8*'📋 Premissas'!B20</f>
        <v>2079</v>
      </c>
      <c r="L13" s="32" t="n">
        <f aca="false">L8*'📋 Premissas'!B20</f>
        <v>2673</v>
      </c>
      <c r="M13" s="32" t="n">
        <f aca="false">M8*'📋 Premissas'!B20</f>
        <v>3267</v>
      </c>
    </row>
    <row r="14" customFormat="false" ht="15" hidden="false" customHeight="true" outlineLevel="0" collapsed="false">
      <c r="A14" s="5" t="s">
        <v>87</v>
      </c>
      <c r="B14" s="32" t="n">
        <f aca="false">B9*'📋 Premissas'!C20</f>
        <v>0</v>
      </c>
      <c r="C14" s="32" t="n">
        <f aca="false">C9*'📋 Premissas'!C20</f>
        <v>0</v>
      </c>
      <c r="D14" s="32" t="n">
        <f aca="false">D9*'📋 Premissas'!C20</f>
        <v>0</v>
      </c>
      <c r="E14" s="32" t="n">
        <f aca="false">E9*'📋 Premissas'!C20</f>
        <v>0</v>
      </c>
      <c r="F14" s="32" t="n">
        <f aca="false">F9*'📋 Premissas'!C20</f>
        <v>0</v>
      </c>
      <c r="G14" s="32" t="n">
        <f aca="false">G9*'📋 Premissas'!C20</f>
        <v>697</v>
      </c>
      <c r="H14" s="32" t="n">
        <f aca="false">H9*'📋 Premissas'!C20</f>
        <v>1394</v>
      </c>
      <c r="I14" s="32" t="n">
        <f aca="false">I9*'📋 Premissas'!C20</f>
        <v>2091</v>
      </c>
      <c r="J14" s="32" t="n">
        <f aca="false">J9*'📋 Premissas'!C20</f>
        <v>2788</v>
      </c>
      <c r="K14" s="32" t="n">
        <f aca="false">K9*'📋 Premissas'!C20</f>
        <v>4182</v>
      </c>
      <c r="L14" s="32" t="n">
        <f aca="false">L9*'📋 Premissas'!C20</f>
        <v>5576</v>
      </c>
      <c r="M14" s="32" t="n">
        <f aca="false">M9*'📋 Premissas'!C20</f>
        <v>6970</v>
      </c>
    </row>
    <row r="15" customFormat="false" ht="15" hidden="false" customHeight="true" outlineLevel="0" collapsed="false">
      <c r="A15" s="20" t="s">
        <v>114</v>
      </c>
      <c r="B15" s="28" t="n">
        <f aca="false">B13+B14</f>
        <v>0</v>
      </c>
      <c r="C15" s="28" t="n">
        <f aca="false">C13+C14</f>
        <v>0</v>
      </c>
      <c r="D15" s="28" t="n">
        <f aca="false">D13+D14</f>
        <v>0</v>
      </c>
      <c r="E15" s="28" t="n">
        <f aca="false">E13+E14</f>
        <v>0</v>
      </c>
      <c r="F15" s="28" t="n">
        <f aca="false">F13+F14</f>
        <v>297</v>
      </c>
      <c r="G15" s="28" t="n">
        <f aca="false">G13+G14</f>
        <v>1291</v>
      </c>
      <c r="H15" s="28" t="n">
        <f aca="false">H13+H14</f>
        <v>2285</v>
      </c>
      <c r="I15" s="28" t="n">
        <f aca="false">I13+I14</f>
        <v>3576</v>
      </c>
      <c r="J15" s="28" t="n">
        <f aca="false">J13+J14</f>
        <v>4570</v>
      </c>
      <c r="K15" s="28" t="n">
        <f aca="false">K13+K14</f>
        <v>6261</v>
      </c>
      <c r="L15" s="28" t="n">
        <f aca="false">L13+L14</f>
        <v>8249</v>
      </c>
      <c r="M15" s="28" t="n">
        <f aca="false">M13+M14</f>
        <v>10237</v>
      </c>
    </row>
    <row r="16" customFormat="false" ht="7.5" hidden="false" customHeight="true" outlineLevel="0" collapsed="false"/>
    <row r="17" customFormat="false" ht="21.75" hidden="false" customHeight="true" outlineLevel="0" collapsed="false">
      <c r="A17" s="4" t="s">
        <v>115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8" hidden="false" customHeight="true" outlineLevel="0" collapsed="false">
      <c r="A18" s="5" t="s">
        <v>116</v>
      </c>
      <c r="B18" s="32" t="n">
        <f aca="false">B9*'💰 Custo por Tenant'!C20</f>
        <v>0</v>
      </c>
      <c r="C18" s="32" t="n">
        <f aca="false">C9*'💰 Custo por Tenant'!C20</f>
        <v>0</v>
      </c>
      <c r="D18" s="32" t="n">
        <f aca="false">D9*'💰 Custo por Tenant'!C20</f>
        <v>0</v>
      </c>
      <c r="E18" s="32" t="n">
        <f aca="false">E9*'💰 Custo por Tenant'!C20</f>
        <v>0</v>
      </c>
      <c r="F18" s="32" t="n">
        <f aca="false">F9*'💰 Custo por Tenant'!C20</f>
        <v>0</v>
      </c>
      <c r="G18" s="32" t="n">
        <f aca="false">G9*'💰 Custo por Tenant'!C20</f>
        <v>14.3442</v>
      </c>
      <c r="H18" s="32" t="n">
        <f aca="false">H9*'💰 Custo por Tenant'!C20</f>
        <v>28.6884</v>
      </c>
      <c r="I18" s="32" t="n">
        <f aca="false">I9*'💰 Custo por Tenant'!C20</f>
        <v>43.0326</v>
      </c>
      <c r="J18" s="32" t="n">
        <f aca="false">J9*'💰 Custo por Tenant'!C20</f>
        <v>57.3768</v>
      </c>
      <c r="K18" s="32" t="n">
        <f aca="false">K9*'💰 Custo por Tenant'!C20</f>
        <v>86.0652</v>
      </c>
      <c r="L18" s="32" t="n">
        <f aca="false">L9*'💰 Custo por Tenant'!C20</f>
        <v>114.7536</v>
      </c>
      <c r="M18" s="32" t="n">
        <f aca="false">M9*'💰 Custo por Tenant'!C20</f>
        <v>143.442</v>
      </c>
    </row>
    <row r="19" customFormat="false" ht="18" hidden="false" customHeight="true" outlineLevel="0" collapsed="false">
      <c r="A19" s="5" t="s">
        <v>117</v>
      </c>
      <c r="B19" s="32" t="n">
        <f aca="false">B10*'💰 Custo por Tenant'!C20</f>
        <v>0</v>
      </c>
      <c r="C19" s="32" t="n">
        <f aca="false">C10*'💰 Custo por Tenant'!C20</f>
        <v>0</v>
      </c>
      <c r="D19" s="32" t="n">
        <f aca="false">D10*'💰 Custo por Tenant'!C20</f>
        <v>0</v>
      </c>
      <c r="E19" s="32" t="n">
        <f aca="false">E10*'💰 Custo por Tenant'!C20</f>
        <v>0</v>
      </c>
      <c r="F19" s="32" t="n">
        <f aca="false">F10*'💰 Custo por Tenant'!C20</f>
        <v>14.3442</v>
      </c>
      <c r="G19" s="32" t="n">
        <f aca="false">G10*'💰 Custo por Tenant'!C20</f>
        <v>43.0326</v>
      </c>
      <c r="H19" s="32" t="n">
        <f aca="false">H10*'💰 Custo por Tenant'!C20</f>
        <v>71.721</v>
      </c>
      <c r="I19" s="32" t="n">
        <f aca="false">I10*'💰 Custo por Tenant'!C20</f>
        <v>114.7536</v>
      </c>
      <c r="J19" s="32" t="n">
        <f aca="false">J10*'💰 Custo por Tenant'!C20</f>
        <v>143.442</v>
      </c>
      <c r="K19" s="32" t="n">
        <f aca="false">K10*'💰 Custo por Tenant'!C20</f>
        <v>186.4746</v>
      </c>
      <c r="L19" s="32" t="n">
        <f aca="false">L10*'💰 Custo por Tenant'!C20</f>
        <v>243.8514</v>
      </c>
      <c r="M19" s="32" t="n">
        <f aca="false">M10*'💰 Custo por Tenant'!C20</f>
        <v>301.2282</v>
      </c>
    </row>
    <row r="20" customFormat="false" ht="18" hidden="false" customHeight="true" outlineLevel="0" collapsed="false">
      <c r="A20" s="5" t="s">
        <v>118</v>
      </c>
      <c r="B20" s="32" t="n">
        <f aca="false">B15*0.014</f>
        <v>0</v>
      </c>
      <c r="C20" s="32" t="n">
        <f aca="false">C15*0.014</f>
        <v>0</v>
      </c>
      <c r="D20" s="32" t="n">
        <f aca="false">D15*0.014</f>
        <v>0</v>
      </c>
      <c r="E20" s="32" t="n">
        <f aca="false">E15*0.014</f>
        <v>0</v>
      </c>
      <c r="F20" s="32" t="n">
        <f aca="false">F15*0.014</f>
        <v>4.158</v>
      </c>
      <c r="G20" s="32" t="n">
        <f aca="false">G15*0.014</f>
        <v>18.074</v>
      </c>
      <c r="H20" s="32" t="n">
        <f aca="false">H15*0.014</f>
        <v>31.99</v>
      </c>
      <c r="I20" s="32" t="n">
        <f aca="false">I15*0.014</f>
        <v>50.064</v>
      </c>
      <c r="J20" s="32" t="n">
        <f aca="false">J15*0.014</f>
        <v>63.98</v>
      </c>
      <c r="K20" s="32" t="n">
        <f aca="false">K15*0.014</f>
        <v>87.654</v>
      </c>
      <c r="L20" s="32" t="n">
        <f aca="false">L15*0.014</f>
        <v>115.486</v>
      </c>
      <c r="M20" s="32" t="n">
        <f aca="false">M15*0.014</f>
        <v>143.318</v>
      </c>
    </row>
    <row r="21" customFormat="false" ht="18" hidden="false" customHeight="true" outlineLevel="0" collapsed="false">
      <c r="A21" s="5" t="s">
        <v>119</v>
      </c>
      <c r="B21" s="32" t="n">
        <f aca="false">SUM('📋 Premissas'!B24:B30)</f>
        <v>1330</v>
      </c>
      <c r="C21" s="32" t="n">
        <f aca="false">SUM('📋 Premissas'!B24:B30)</f>
        <v>1330</v>
      </c>
      <c r="D21" s="32" t="n">
        <f aca="false">SUM('📋 Premissas'!B24:B30)</f>
        <v>1330</v>
      </c>
      <c r="E21" s="32" t="n">
        <f aca="false">SUM('📋 Premissas'!B24:B30)</f>
        <v>1330</v>
      </c>
      <c r="F21" s="32" t="n">
        <f aca="false">SUM('📋 Premissas'!B24:B30)</f>
        <v>1330</v>
      </c>
      <c r="G21" s="32" t="n">
        <f aca="false">SUM('📋 Premissas'!B24:B30)</f>
        <v>1330</v>
      </c>
      <c r="H21" s="32" t="n">
        <f aca="false">SUM('📋 Premissas'!B24:B30)</f>
        <v>1330</v>
      </c>
      <c r="I21" s="32" t="n">
        <f aca="false">SUM('📋 Premissas'!B24:B30)</f>
        <v>1330</v>
      </c>
      <c r="J21" s="32" t="n">
        <f aca="false">SUM('📋 Premissas'!B24:B30)</f>
        <v>1330</v>
      </c>
      <c r="K21" s="32" t="n">
        <f aca="false">SUM('📋 Premissas'!B24:B30)</f>
        <v>1330</v>
      </c>
      <c r="L21" s="32" t="n">
        <f aca="false">SUM('📋 Premissas'!B24:B30)</f>
        <v>1330</v>
      </c>
      <c r="M21" s="32" t="n">
        <f aca="false">SUM('📋 Premissas'!B24:B30)</f>
        <v>1330</v>
      </c>
    </row>
    <row r="22" customFormat="false" ht="18" hidden="false" customHeight="true" outlineLevel="0" collapsed="false">
      <c r="A22" s="20" t="s">
        <v>120</v>
      </c>
      <c r="B22" s="28" t="n">
        <f aca="false">SUM(B18:B21)</f>
        <v>1330</v>
      </c>
      <c r="C22" s="28" t="n">
        <f aca="false">SUM(C18:C21)</f>
        <v>1330</v>
      </c>
      <c r="D22" s="28" t="n">
        <f aca="false">SUM(D18:D21)</f>
        <v>1330</v>
      </c>
      <c r="E22" s="28" t="n">
        <f aca="false">SUM(E18:E21)</f>
        <v>1330</v>
      </c>
      <c r="F22" s="28" t="n">
        <f aca="false">SUM(F18:F21)</f>
        <v>1348.5022</v>
      </c>
      <c r="G22" s="28" t="n">
        <f aca="false">SUM(G18:G21)</f>
        <v>1405.4508</v>
      </c>
      <c r="H22" s="28" t="n">
        <f aca="false">SUM(H18:H21)</f>
        <v>1462.3994</v>
      </c>
      <c r="I22" s="28" t="n">
        <f aca="false">SUM(I18:I21)</f>
        <v>1537.8502</v>
      </c>
      <c r="J22" s="28" t="n">
        <f aca="false">SUM(J18:J21)</f>
        <v>1594.7988</v>
      </c>
      <c r="K22" s="28" t="n">
        <f aca="false">SUM(K18:K21)</f>
        <v>1690.1938</v>
      </c>
      <c r="L22" s="28" t="n">
        <f aca="false">SUM(L18:L21)</f>
        <v>1804.091</v>
      </c>
      <c r="M22" s="28" t="n">
        <f aca="false">SUM(M18:M21)</f>
        <v>1917.9882</v>
      </c>
    </row>
    <row r="24" customFormat="false" ht="7.5" hidden="false" customHeight="true" outlineLevel="0" collapsed="false"/>
    <row r="25" customFormat="false" ht="21.75" hidden="false" customHeight="true" outlineLevel="0" collapsed="false">
      <c r="A25" s="4" t="s">
        <v>121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9.5" hidden="false" customHeight="true" outlineLevel="0" collapsed="false">
      <c r="A26" s="10" t="s">
        <v>122</v>
      </c>
      <c r="B26" s="27" t="n">
        <f aca="false">B15</f>
        <v>0</v>
      </c>
      <c r="C26" s="27" t="n">
        <f aca="false">C15</f>
        <v>0</v>
      </c>
      <c r="D26" s="27" t="n">
        <f aca="false">D15</f>
        <v>0</v>
      </c>
      <c r="E26" s="27" t="n">
        <f aca="false">E15</f>
        <v>0</v>
      </c>
      <c r="F26" s="27" t="n">
        <f aca="false">F15</f>
        <v>297</v>
      </c>
      <c r="G26" s="27" t="n">
        <f aca="false">G15</f>
        <v>1291</v>
      </c>
      <c r="H26" s="27" t="n">
        <f aca="false">H15</f>
        <v>2285</v>
      </c>
      <c r="I26" s="27" t="n">
        <f aca="false">I15</f>
        <v>3576</v>
      </c>
      <c r="J26" s="27" t="n">
        <f aca="false">J15</f>
        <v>4570</v>
      </c>
      <c r="K26" s="27" t="n">
        <f aca="false">K15</f>
        <v>6261</v>
      </c>
      <c r="L26" s="27" t="n">
        <f aca="false">L15</f>
        <v>8249</v>
      </c>
      <c r="M26" s="27" t="n">
        <f aca="false">M15</f>
        <v>10237</v>
      </c>
    </row>
    <row r="27" customFormat="false" ht="19.5" hidden="false" customHeight="true" outlineLevel="0" collapsed="false">
      <c r="A27" s="10" t="s">
        <v>123</v>
      </c>
      <c r="B27" s="27" t="n">
        <f aca="false">B23</f>
        <v>0</v>
      </c>
      <c r="C27" s="27" t="n">
        <f aca="false">C23</f>
        <v>0</v>
      </c>
      <c r="D27" s="27" t="n">
        <f aca="false">D23</f>
        <v>0</v>
      </c>
      <c r="E27" s="27" t="n">
        <f aca="false">E23</f>
        <v>0</v>
      </c>
      <c r="F27" s="27" t="n">
        <f aca="false">F23</f>
        <v>0</v>
      </c>
      <c r="G27" s="27" t="n">
        <f aca="false">G23</f>
        <v>0</v>
      </c>
      <c r="H27" s="27" t="n">
        <f aca="false">H23</f>
        <v>0</v>
      </c>
      <c r="I27" s="27" t="n">
        <f aca="false">I23</f>
        <v>0</v>
      </c>
      <c r="J27" s="27" t="n">
        <f aca="false">J23</f>
        <v>0</v>
      </c>
      <c r="K27" s="27" t="n">
        <f aca="false">K23</f>
        <v>0</v>
      </c>
      <c r="L27" s="27" t="n">
        <f aca="false">L23</f>
        <v>0</v>
      </c>
      <c r="M27" s="27" t="n">
        <f aca="false">M23</f>
        <v>0</v>
      </c>
    </row>
    <row r="28" customFormat="false" ht="19.5" hidden="false" customHeight="true" outlineLevel="0" collapsed="false">
      <c r="A28" s="10" t="s">
        <v>124</v>
      </c>
      <c r="B28" s="27" t="n">
        <f aca="false">B26-B27</f>
        <v>0</v>
      </c>
      <c r="C28" s="27" t="n">
        <f aca="false">C26-C27</f>
        <v>0</v>
      </c>
      <c r="D28" s="27" t="n">
        <f aca="false">D26-D27</f>
        <v>0</v>
      </c>
      <c r="E28" s="27" t="n">
        <f aca="false">E26-E27</f>
        <v>0</v>
      </c>
      <c r="F28" s="27" t="n">
        <f aca="false">F26-F27</f>
        <v>297</v>
      </c>
      <c r="G28" s="27" t="n">
        <f aca="false">G26-G27</f>
        <v>1291</v>
      </c>
      <c r="H28" s="27" t="n">
        <f aca="false">H26-H27</f>
        <v>2285</v>
      </c>
      <c r="I28" s="27" t="n">
        <f aca="false">I26-I27</f>
        <v>3576</v>
      </c>
      <c r="J28" s="27" t="n">
        <f aca="false">J26-J27</f>
        <v>4570</v>
      </c>
      <c r="K28" s="27" t="n">
        <f aca="false">K26-K27</f>
        <v>6261</v>
      </c>
      <c r="L28" s="27" t="n">
        <f aca="false">L26-L27</f>
        <v>8249</v>
      </c>
      <c r="M28" s="27" t="n">
        <f aca="false">M26-M27</f>
        <v>10237</v>
      </c>
    </row>
    <row r="29" customFormat="false" ht="19.5" hidden="false" customHeight="true" outlineLevel="0" collapsed="false">
      <c r="A29" s="10" t="s">
        <v>125</v>
      </c>
      <c r="B29" s="29" t="n">
        <f aca="false">IFERROR(B28/B26,0)</f>
        <v>0</v>
      </c>
      <c r="C29" s="29" t="n">
        <f aca="false">IFERROR(C28/C26,0)</f>
        <v>0</v>
      </c>
      <c r="D29" s="29" t="n">
        <f aca="false">IFERROR(D28/D26,0)</f>
        <v>0</v>
      </c>
      <c r="E29" s="29" t="n">
        <f aca="false">IFERROR(E28/E26,0)</f>
        <v>0</v>
      </c>
      <c r="F29" s="29" t="n">
        <f aca="false">IFERROR(F28/F26,0)</f>
        <v>1</v>
      </c>
      <c r="G29" s="29" t="n">
        <f aca="false">IFERROR(G28/G26,0)</f>
        <v>1</v>
      </c>
      <c r="H29" s="29" t="n">
        <f aca="false">IFERROR(H28/H26,0)</f>
        <v>1</v>
      </c>
      <c r="I29" s="29" t="n">
        <f aca="false">IFERROR(I28/I26,0)</f>
        <v>1</v>
      </c>
      <c r="J29" s="29" t="n">
        <f aca="false">IFERROR(J28/J26,0)</f>
        <v>1</v>
      </c>
      <c r="K29" s="29" t="n">
        <f aca="false">IFERROR(K28/K26,0)</f>
        <v>1</v>
      </c>
      <c r="L29" s="29" t="n">
        <f aca="false">IFERROR(L28/L26,0)</f>
        <v>1</v>
      </c>
      <c r="M29" s="29" t="n">
        <f aca="false">IFERROR(M28/M26,0)</f>
        <v>1</v>
      </c>
    </row>
  </sheetData>
  <mergeCells count="5">
    <mergeCell ref="A1:N1"/>
    <mergeCell ref="A3:N3"/>
    <mergeCell ref="A12:N12"/>
    <mergeCell ref="A17:N17"/>
    <mergeCell ref="A25:N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22"/>
    <col collapsed="false" customWidth="true" hidden="false" outlineLevel="0" max="4" min="4" style="1" width="34"/>
  </cols>
  <sheetData>
    <row r="1" customFormat="false" ht="39.75" hidden="false" customHeight="true" outlineLevel="0" collapsed="false">
      <c r="A1" s="33" t="s">
        <v>126</v>
      </c>
      <c r="B1" s="33"/>
      <c r="C1" s="33"/>
      <c r="D1" s="33"/>
    </row>
    <row r="2" customFormat="false" ht="7.5" hidden="false" customHeight="true" outlineLevel="0" collapsed="false"/>
    <row r="3" customFormat="false" ht="21.75" hidden="false" customHeight="true" outlineLevel="0" collapsed="false">
      <c r="A3" s="4" t="s">
        <v>127</v>
      </c>
      <c r="B3" s="4"/>
      <c r="C3" s="4"/>
      <c r="D3" s="4"/>
    </row>
    <row r="4" customFormat="false" ht="15" hidden="false" customHeight="true" outlineLevel="0" collapsed="false">
      <c r="A4" s="15" t="s">
        <v>128</v>
      </c>
      <c r="B4" s="15" t="s">
        <v>129</v>
      </c>
      <c r="C4" s="15" t="s">
        <v>130</v>
      </c>
      <c r="D4" s="15" t="s">
        <v>131</v>
      </c>
    </row>
    <row r="5" customFormat="false" ht="19.5" hidden="false" customHeight="true" outlineLevel="0" collapsed="false">
      <c r="A5" s="24" t="s">
        <v>132</v>
      </c>
      <c r="B5" s="27" t="n">
        <f aca="false">'💰 Custo por Tenant'!C26</f>
        <v>0</v>
      </c>
      <c r="C5" s="34" t="n">
        <f aca="false">'💰 Custo por Tenant'!B26</f>
        <v>297</v>
      </c>
      <c r="D5" s="18" t="s">
        <v>133</v>
      </c>
    </row>
    <row r="6" customFormat="false" ht="19.5" hidden="false" customHeight="true" outlineLevel="0" collapsed="false">
      <c r="A6" s="24" t="s">
        <v>134</v>
      </c>
      <c r="B6" s="35" t="str">
        <f aca="false">'💰 Custo por Tenant'!C31</f>
        <v>← OK se &lt; 15%</v>
      </c>
      <c r="C6" s="36" t="s">
        <v>135</v>
      </c>
      <c r="D6" s="18" t="s">
        <v>136</v>
      </c>
    </row>
    <row r="7" customFormat="false" ht="19.5" hidden="false" customHeight="true" outlineLevel="0" collapsed="false">
      <c r="A7" s="24" t="s">
        <v>137</v>
      </c>
      <c r="B7" s="35" t="n">
        <f aca="false">'💰 Custo por Tenant'!E31</f>
        <v>0</v>
      </c>
      <c r="C7" s="36" t="s">
        <v>138</v>
      </c>
      <c r="D7" s="18" t="s">
        <v>139</v>
      </c>
    </row>
    <row r="8" customFormat="false" ht="19.5" hidden="false" customHeight="true" outlineLevel="0" collapsed="false">
      <c r="A8" s="24" t="s">
        <v>140</v>
      </c>
      <c r="B8" s="27" t="n">
        <f aca="false">'📈 Projeção 12 Meses'!G15</f>
        <v>1291</v>
      </c>
      <c r="C8" s="36" t="s">
        <v>141</v>
      </c>
      <c r="D8" s="18" t="s">
        <v>142</v>
      </c>
    </row>
    <row r="9" customFormat="false" ht="19.5" hidden="false" customHeight="true" outlineLevel="0" collapsed="false">
      <c r="A9" s="24" t="s">
        <v>143</v>
      </c>
      <c r="B9" s="27" t="n">
        <f aca="false">'📈 Projeção 12 Meses'!N15</f>
        <v>0</v>
      </c>
      <c r="C9" s="36" t="s">
        <v>144</v>
      </c>
      <c r="D9" s="18" t="s">
        <v>145</v>
      </c>
    </row>
    <row r="10" customFormat="false" ht="19.5" hidden="false" customHeight="true" outlineLevel="0" collapsed="false">
      <c r="A10" s="24" t="s">
        <v>146</v>
      </c>
      <c r="B10" s="27" t="n">
        <f aca="false">SUM('📋 Premissas'!B24:B30)</f>
        <v>1330</v>
      </c>
      <c r="C10" s="36" t="s">
        <v>147</v>
      </c>
      <c r="D10" s="18" t="s">
        <v>148</v>
      </c>
    </row>
    <row r="12" customFormat="false" ht="7.5" hidden="false" customHeight="true" outlineLevel="0" collapsed="false"/>
    <row r="13" customFormat="false" ht="21.75" hidden="false" customHeight="true" outlineLevel="0" collapsed="false">
      <c r="A13" s="4" t="s">
        <v>149</v>
      </c>
      <c r="B13" s="4"/>
      <c r="C13" s="4"/>
      <c r="D13" s="4"/>
    </row>
    <row r="14" customFormat="false" ht="15" hidden="false" customHeight="true" outlineLevel="0" collapsed="false">
      <c r="A14" s="15" t="s">
        <v>150</v>
      </c>
      <c r="B14" s="15" t="s">
        <v>151</v>
      </c>
      <c r="C14" s="37" t="s">
        <v>152</v>
      </c>
      <c r="D14" s="37"/>
    </row>
    <row r="15" customFormat="false" ht="19.5" hidden="false" customHeight="true" outlineLevel="0" collapsed="false">
      <c r="A15" s="8" t="s">
        <v>153</v>
      </c>
      <c r="B15" s="24" t="s">
        <v>154</v>
      </c>
      <c r="C15" s="18" t="s">
        <v>155</v>
      </c>
      <c r="D15" s="18"/>
    </row>
    <row r="16" customFormat="false" ht="19.5" hidden="false" customHeight="true" outlineLevel="0" collapsed="false">
      <c r="A16" s="8" t="s">
        <v>156</v>
      </c>
      <c r="B16" s="24" t="s">
        <v>157</v>
      </c>
      <c r="C16" s="18" t="s">
        <v>158</v>
      </c>
      <c r="D16" s="18"/>
    </row>
    <row r="17" customFormat="false" ht="19.5" hidden="false" customHeight="true" outlineLevel="0" collapsed="false">
      <c r="A17" s="8" t="s">
        <v>159</v>
      </c>
      <c r="B17" s="24" t="s">
        <v>160</v>
      </c>
      <c r="C17" s="18" t="s">
        <v>161</v>
      </c>
      <c r="D17" s="18"/>
    </row>
    <row r="18" customFormat="false" ht="19.5" hidden="false" customHeight="true" outlineLevel="0" collapsed="false">
      <c r="A18" s="8" t="s">
        <v>162</v>
      </c>
      <c r="B18" s="24" t="s">
        <v>163</v>
      </c>
      <c r="C18" s="18" t="s">
        <v>164</v>
      </c>
      <c r="D18" s="18"/>
    </row>
    <row r="19" customFormat="false" ht="19.5" hidden="false" customHeight="true" outlineLevel="0" collapsed="false">
      <c r="A19" s="8" t="s">
        <v>165</v>
      </c>
      <c r="B19" s="24" t="s">
        <v>166</v>
      </c>
      <c r="C19" s="18" t="s">
        <v>167</v>
      </c>
      <c r="D19" s="18"/>
    </row>
    <row r="20" customFormat="false" ht="19.5" hidden="false" customHeight="true" outlineLevel="0" collapsed="false">
      <c r="A20" s="8" t="s">
        <v>168</v>
      </c>
      <c r="B20" s="24" t="s">
        <v>169</v>
      </c>
      <c r="C20" s="18" t="s">
        <v>170</v>
      </c>
      <c r="D20" s="18"/>
    </row>
  </sheetData>
  <mergeCells count="10">
    <mergeCell ref="A1:D1"/>
    <mergeCell ref="A3:D3"/>
    <mergeCell ref="A13:D13"/>
    <mergeCell ref="C14:D14"/>
    <mergeCell ref="C15:D15"/>
    <mergeCell ref="C16:D16"/>
    <mergeCell ref="C17:D17"/>
    <mergeCell ref="C18:D18"/>
    <mergeCell ref="C19:D19"/>
    <mergeCell ref="C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2026-04-17T12:23:05Z</dcterms:created>
  <dc:creator>openpyxl</dc:creator>
  <dc:description/>
  <dc:language>en-US</dc:language>
  <cp:lastModifiedBy/>
  <dcterms:modified xsi:type="dcterms:W3CDTF">2026-04-17T12:46:56Z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